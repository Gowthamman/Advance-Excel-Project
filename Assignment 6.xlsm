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\OneDrive\Desktop\"/>
    </mc:Choice>
  </mc:AlternateContent>
  <xr:revisionPtr revIDLastSave="0" documentId="13_ncr:1_{AF1A1261-1608-4A04-97C6-A7D961C99DAA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2" i="1" l="1"/>
  <c r="J42" i="1"/>
  <c r="K42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K29" i="1" s="1"/>
  <c r="J30" i="1"/>
  <c r="J31" i="1"/>
  <c r="J32" i="1"/>
  <c r="J33" i="1"/>
  <c r="K33" i="1" s="1"/>
  <c r="J34" i="1"/>
  <c r="J35" i="1"/>
  <c r="J36" i="1"/>
  <c r="J37" i="1"/>
  <c r="K37" i="1" s="1"/>
  <c r="J38" i="1"/>
  <c r="J39" i="1"/>
  <c r="J40" i="1"/>
  <c r="J41" i="1"/>
  <c r="K41" i="1" s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K28" i="1" s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K10" i="1"/>
  <c r="K11" i="1"/>
  <c r="K12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30" i="1"/>
  <c r="K31" i="1"/>
  <c r="K32" i="1"/>
  <c r="K34" i="1"/>
  <c r="K35" i="1"/>
  <c r="K36" i="1"/>
  <c r="K38" i="1"/>
  <c r="K39" i="1"/>
  <c r="K40" i="1"/>
  <c r="H9" i="1"/>
  <c r="J9" i="1"/>
  <c r="K13" i="1" l="1"/>
</calcChain>
</file>

<file path=xl/sharedStrings.xml><?xml version="1.0" encoding="utf-8"?>
<sst xmlns="http://schemas.openxmlformats.org/spreadsheetml/2006/main" count="49" uniqueCount="20">
  <si>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</si>
  <si>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</si>
  <si>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</si>
  <si>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</si>
  <si>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</si>
  <si>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</si>
  <si>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</si>
  <si>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</si>
  <si>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</si>
  <si>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</si>
  <si>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</si>
  <si>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</si>
  <si>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</si>
  <si>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</si>
  <si>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</si>
  <si>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</si>
  <si>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</si>
  <si>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</si>
  <si>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</si>
  <si>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Profit2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</si>
</sst>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\ &quot;Millions&quot;"/>
    <numFmt numFmtId="165" formatCode="0.00\ &quot;Millons&quot;"/>
    <numFmt numFmtId="166" formatCode="0.00\ &quot;%&quot;"/>
  </numFmts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6">
    <dxf>
      <numFmt numFmtId="166" formatCode="0.00\ &quot;%&quot;"/>
    </dxf>
    <dxf>
      <numFmt numFmtId="164" formatCode="0.00\ &quot;Millions&quot;"/>
    </dxf>
    <dxf>
      <numFmt numFmtId="164" formatCode="0.00\ &quot;Millions&quot;"/>
    </dxf>
    <dxf>
      <numFmt numFmtId="165" formatCode="0.00\ &quot;Millons&quot;"/>
    </dxf>
    <dxf>
      <numFmt numFmtId="164" formatCode="0.00\ &quot;Millions&quot;"/>
    </dxf>
    <dxf>
      <numFmt numFmtId="164" formatCode="0.00\ &quot;Millions&quot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1FC7EC-3A58-44A4-80A0-DF0E769080A2}" name="Table2" displayName="Table2" ref="C8:K42" totalsRowShown="0">
  <autoFilter ref="C8:K42" xr:uid="{941FC7EC-3A58-44A4-80A0-DF0E769080A2}"/>
  <tableColumns count="9">
    <tableColumn id="1" xr3:uid="{E2138F0F-BCFD-49DB-A0B8-71416E2CF34B}" name="Row ID"/>
    <tableColumn id="2" xr3:uid="{CBC66674-FCE1-4DFA-AEF7-7499FEB85DBF}" name="Order Priority"/>
    <tableColumn id="3" xr3:uid="{A9C91421-5C28-4DD2-9A8B-094DBBAE2F0D}" name="Quantity ordered"/>
    <tableColumn id="4" xr3:uid="{C3E88066-9638-4AFA-ADFF-1DF08E901407}" name="Unit Price" dataDxfId="5"/>
    <tableColumn id="5" xr3:uid="{F6E07AE5-1560-4EB9-9D74-7719ADC2436F}" name="Shipping Cost" dataDxfId="4"/>
    <tableColumn id="6" xr3:uid="{1BF85FE4-8B4B-45BA-BC98-C12C15D60636}" name="Sales amount" dataDxfId="3">
      <calculatedColumnFormula>(E9*F9)+G9</calculatedColumnFormula>
    </tableColumn>
    <tableColumn id="7" xr3:uid="{4E2B2157-4D19-411C-BE13-A8B3DE4A3191}" name="Product Margin per unit" dataDxfId="2"/>
    <tableColumn id="8" xr3:uid="{B00FF801-BB81-4324-AACE-148C87B0D4AD}" name="Profit" dataDxfId="1">
      <calculatedColumnFormula>I9*E9-G9</calculatedColumnFormula>
    </tableColumn>
    <tableColumn id="9" xr3:uid="{1F3E8DB6-9E81-4435-93E2-DDDE901EAD74}" name="Profit2" dataDxfId="0">
      <calculatedColumnFormula>Table2[[#This Row],[Profit]]/Table2[[#This Row],[Sales amount]]*100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2"/>
  <sheetViews>
    <sheetView tabSelected="1" workbookViewId="0">
      <selection activeCell="E8" sqref="E8"/>
    </sheetView>
  </sheetViews>
  <sheetFormatPr defaultRowHeight="15" x14ac:dyDescent="0.25"/>
  <cols>
    <col min="3" max="3" width="9.28515625" customWidth="1"/>
    <col min="4" max="4" width="15.28515625" customWidth="1"/>
    <col min="5" max="5" width="18.42578125" customWidth="1"/>
    <col min="6" max="6" width="15.28515625" bestFit="1" customWidth="1"/>
    <col min="7" max="7" width="15.140625" customWidth="1"/>
    <col min="8" max="8" width="18" bestFit="1" customWidth="1"/>
    <col min="9" max="9" width="24.140625" customWidth="1"/>
    <col min="10" max="10" width="14" bestFit="1" customWidth="1"/>
    <col min="11" max="11" width="11" customWidth="1"/>
  </cols>
  <sheetData>
    <row r="2" spans="3:11" x14ac:dyDescent="0.25">
      <c r="C2" s="1" t="s">
        <v>0</v>
      </c>
      <c r="I2" s="1" t="s">
        <v>18</v>
      </c>
    </row>
    <row r="3" spans="3:11" x14ac:dyDescent="0.25">
      <c r="C3" s="1" t="s">
        <v>1</v>
      </c>
    </row>
    <row r="4" spans="3:11" x14ac:dyDescent="0.25">
      <c r="C4" s="1" t="s">
        <v>15</v>
      </c>
    </row>
    <row r="5" spans="3:11" x14ac:dyDescent="0.25">
      <c r="C5" s="1" t="s">
        <v>16</v>
      </c>
    </row>
    <row r="6" spans="3:11" x14ac:dyDescent="0.25">
      <c r="C6" s="1" t="s">
        <v>17</v>
      </c>
    </row>
    <row r="8" spans="3:11" x14ac:dyDescent="0.25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  <c r="K8" t="s">
        <v>19</v>
      </c>
    </row>
    <row r="9" spans="3:11" x14ac:dyDescent="0.25">
      <c r="C9">
        <v>20847</v>
      </c>
      <c r="D9" t="s">
        <v>4</v>
      </c>
      <c r="E9">
        <v>4</v>
      </c>
      <c r="F9" s="2">
        <v>2.84</v>
      </c>
      <c r="G9" s="2">
        <v>0.93</v>
      </c>
      <c r="H9" s="3">
        <f>(E9*F9)+G9</f>
        <v>12.29</v>
      </c>
      <c r="I9" s="2">
        <v>0.54</v>
      </c>
      <c r="J9" s="2">
        <f>I9*E9-G9</f>
        <v>1.23</v>
      </c>
      <c r="K9" s="4">
        <f>Table2[[#This Row],[Profit]]/Table2[[#This Row],[Sales amount]]*100</f>
        <v>10.008136696501222</v>
      </c>
    </row>
    <row r="10" spans="3:11" x14ac:dyDescent="0.25">
      <c r="C10">
        <v>20228</v>
      </c>
      <c r="D10" t="s">
        <v>5</v>
      </c>
      <c r="E10">
        <v>12</v>
      </c>
      <c r="F10" s="2">
        <v>500.98</v>
      </c>
      <c r="G10" s="2">
        <v>26</v>
      </c>
      <c r="H10" s="3">
        <f t="shared" ref="H10:H41" si="0">(E10*F10)+G10</f>
        <v>6037.76</v>
      </c>
      <c r="I10" s="2">
        <v>0.6</v>
      </c>
      <c r="J10" s="2">
        <f t="shared" ref="J10:J41" si="1">I10*E10-G10</f>
        <v>-18.8</v>
      </c>
      <c r="K10" s="4">
        <f>Table2[[#This Row],[Profit]]/Table2[[#This Row],[Sales amount]]*100</f>
        <v>-0.31137375450498195</v>
      </c>
    </row>
    <row r="11" spans="3:11" x14ac:dyDescent="0.25">
      <c r="C11">
        <v>21776</v>
      </c>
      <c r="D11" t="s">
        <v>6</v>
      </c>
      <c r="E11">
        <v>22</v>
      </c>
      <c r="F11" s="2">
        <v>9.48</v>
      </c>
      <c r="G11" s="2">
        <v>7.29</v>
      </c>
      <c r="H11" s="3">
        <f t="shared" si="0"/>
        <v>215.85</v>
      </c>
      <c r="I11" s="2">
        <v>0.45</v>
      </c>
      <c r="J11" s="2">
        <f t="shared" si="1"/>
        <v>2.6100000000000003</v>
      </c>
      <c r="K11" s="4">
        <f>Table2[[#This Row],[Profit]]/Table2[[#This Row],[Sales amount]]*100</f>
        <v>1.2091730368311329</v>
      </c>
    </row>
    <row r="12" spans="3:11" x14ac:dyDescent="0.25">
      <c r="C12">
        <v>24844</v>
      </c>
      <c r="D12" t="s">
        <v>7</v>
      </c>
      <c r="E12">
        <v>16</v>
      </c>
      <c r="F12" s="2">
        <v>78.69</v>
      </c>
      <c r="G12" s="2">
        <v>19.989999999999998</v>
      </c>
      <c r="H12" s="3">
        <f t="shared" si="0"/>
        <v>1279.03</v>
      </c>
      <c r="I12" s="2">
        <v>0.43</v>
      </c>
      <c r="J12" s="2">
        <f t="shared" si="1"/>
        <v>-13.11</v>
      </c>
      <c r="K12" s="4">
        <f>Table2[[#This Row],[Profit]]/Table2[[#This Row],[Sales amount]]*100</f>
        <v>-1.0249955044056824</v>
      </c>
    </row>
    <row r="13" spans="3:11" x14ac:dyDescent="0.25">
      <c r="C13">
        <v>24846</v>
      </c>
      <c r="D13" t="s">
        <v>7</v>
      </c>
      <c r="E13">
        <v>7</v>
      </c>
      <c r="F13" s="2">
        <v>3.28</v>
      </c>
      <c r="G13" s="2">
        <v>2.31</v>
      </c>
      <c r="H13" s="3">
        <f t="shared" si="0"/>
        <v>25.269999999999996</v>
      </c>
      <c r="I13" s="2">
        <v>0.56000000000000005</v>
      </c>
      <c r="J13" s="2">
        <f t="shared" si="1"/>
        <v>1.6100000000000003</v>
      </c>
      <c r="K13" s="4">
        <f>Table2[[#This Row],[Profit]]/Table2[[#This Row],[Sales amount]]*100</f>
        <v>6.3711911357340734</v>
      </c>
    </row>
    <row r="14" spans="3:11" x14ac:dyDescent="0.25">
      <c r="C14">
        <v>24847</v>
      </c>
      <c r="D14" t="s">
        <v>7</v>
      </c>
      <c r="E14">
        <v>4</v>
      </c>
      <c r="F14" s="2">
        <v>3.28</v>
      </c>
      <c r="G14" s="2">
        <v>4.2</v>
      </c>
      <c r="H14" s="3">
        <f t="shared" si="0"/>
        <v>17.32</v>
      </c>
      <c r="I14" s="2">
        <v>0.56000000000000005</v>
      </c>
      <c r="J14" s="2">
        <f t="shared" si="1"/>
        <v>-1.96</v>
      </c>
      <c r="K14" s="4">
        <f>Table2[[#This Row],[Profit]]/Table2[[#This Row],[Sales amount]]*100</f>
        <v>-11.316397228637413</v>
      </c>
    </row>
    <row r="15" spans="3:11" x14ac:dyDescent="0.25">
      <c r="C15">
        <v>24848</v>
      </c>
      <c r="D15" t="s">
        <v>7</v>
      </c>
      <c r="E15">
        <v>4</v>
      </c>
      <c r="F15" s="2">
        <v>3.58</v>
      </c>
      <c r="G15" s="2">
        <v>1.63</v>
      </c>
      <c r="H15" s="3">
        <f t="shared" si="0"/>
        <v>15.95</v>
      </c>
      <c r="I15" s="2">
        <v>0.36</v>
      </c>
      <c r="J15" s="2">
        <f t="shared" si="1"/>
        <v>-0.18999999999999995</v>
      </c>
      <c r="K15" s="4">
        <f>Table2[[#This Row],[Profit]]/Table2[[#This Row],[Sales amount]]*100</f>
        <v>-1.1912225705329151</v>
      </c>
    </row>
    <row r="16" spans="3:11" x14ac:dyDescent="0.25">
      <c r="C16">
        <v>18181</v>
      </c>
      <c r="D16" t="s">
        <v>6</v>
      </c>
      <c r="E16">
        <v>7</v>
      </c>
      <c r="F16" s="2">
        <v>4.42</v>
      </c>
      <c r="G16" s="2">
        <v>4.99</v>
      </c>
      <c r="H16" s="3">
        <f t="shared" si="0"/>
        <v>35.93</v>
      </c>
      <c r="I16" s="2">
        <v>0.38</v>
      </c>
      <c r="J16" s="2">
        <f t="shared" si="1"/>
        <v>-2.33</v>
      </c>
      <c r="K16" s="4">
        <f>Table2[[#This Row],[Profit]]/Table2[[#This Row],[Sales amount]]*100</f>
        <v>-6.4848316170331195</v>
      </c>
    </row>
    <row r="17" spans="3:11" x14ac:dyDescent="0.25">
      <c r="C17">
        <v>20925</v>
      </c>
      <c r="D17" t="s">
        <v>7</v>
      </c>
      <c r="E17">
        <v>10</v>
      </c>
      <c r="F17" s="2">
        <v>35.94</v>
      </c>
      <c r="G17" s="2">
        <v>6.66</v>
      </c>
      <c r="H17" s="3">
        <f t="shared" si="0"/>
        <v>366.06</v>
      </c>
      <c r="I17" s="2">
        <v>0.4</v>
      </c>
      <c r="J17" s="2">
        <f t="shared" si="1"/>
        <v>-2.66</v>
      </c>
      <c r="K17" s="4">
        <f>Table2[[#This Row],[Profit]]/Table2[[#This Row],[Sales amount]]*100</f>
        <v>-0.72665683221329835</v>
      </c>
    </row>
    <row r="18" spans="3:11" x14ac:dyDescent="0.25">
      <c r="C18">
        <v>26267</v>
      </c>
      <c r="D18" t="s">
        <v>4</v>
      </c>
      <c r="E18">
        <v>6</v>
      </c>
      <c r="F18" s="2">
        <v>2.98</v>
      </c>
      <c r="G18" s="2">
        <v>1.58</v>
      </c>
      <c r="H18" s="3">
        <f t="shared" si="0"/>
        <v>19.46</v>
      </c>
      <c r="I18" s="2">
        <v>0.39</v>
      </c>
      <c r="J18" s="2">
        <f t="shared" si="1"/>
        <v>0.75999999999999979</v>
      </c>
      <c r="K18" s="4">
        <f>Table2[[#This Row],[Profit]]/Table2[[#This Row],[Sales amount]]*100</f>
        <v>3.9054470709146956</v>
      </c>
    </row>
    <row r="19" spans="3:11" x14ac:dyDescent="0.25">
      <c r="C19">
        <v>26268</v>
      </c>
      <c r="D19" t="s">
        <v>4</v>
      </c>
      <c r="E19">
        <v>10</v>
      </c>
      <c r="F19" s="2">
        <v>115.99</v>
      </c>
      <c r="G19" s="2">
        <v>2.5</v>
      </c>
      <c r="H19" s="3">
        <f t="shared" si="0"/>
        <v>1162.3999999999999</v>
      </c>
      <c r="I19" s="2">
        <v>0.55000000000000004</v>
      </c>
      <c r="J19" s="2">
        <f t="shared" si="1"/>
        <v>3</v>
      </c>
      <c r="K19" s="4">
        <f>Table2[[#This Row],[Profit]]/Table2[[#This Row],[Sales amount]]*100</f>
        <v>0.25808671713695808</v>
      </c>
    </row>
    <row r="20" spans="3:11" x14ac:dyDescent="0.25">
      <c r="C20">
        <v>23890</v>
      </c>
      <c r="D20" t="s">
        <v>4</v>
      </c>
      <c r="E20">
        <v>17</v>
      </c>
      <c r="F20" s="2">
        <v>26.48</v>
      </c>
      <c r="G20" s="2">
        <v>6.93</v>
      </c>
      <c r="H20" s="3">
        <f t="shared" si="0"/>
        <v>457.09000000000003</v>
      </c>
      <c r="I20" s="2">
        <v>0.49</v>
      </c>
      <c r="J20" s="2">
        <f t="shared" si="1"/>
        <v>1.4000000000000004</v>
      </c>
      <c r="K20" s="4">
        <f>Table2[[#This Row],[Profit]]/Table2[[#This Row],[Sales amount]]*100</f>
        <v>0.30628541425102285</v>
      </c>
    </row>
    <row r="21" spans="3:11" x14ac:dyDescent="0.25">
      <c r="C21">
        <v>24063</v>
      </c>
      <c r="D21" t="s">
        <v>5</v>
      </c>
      <c r="E21">
        <v>18</v>
      </c>
      <c r="F21" s="2">
        <v>12.99</v>
      </c>
      <c r="G21" s="2">
        <v>9.44</v>
      </c>
      <c r="H21" s="3">
        <f t="shared" si="0"/>
        <v>243.26</v>
      </c>
      <c r="I21" s="2">
        <v>0.39</v>
      </c>
      <c r="J21" s="2">
        <f t="shared" si="1"/>
        <v>-2.419999999999999</v>
      </c>
      <c r="K21" s="4">
        <f>Table2[[#This Row],[Profit]]/Table2[[#This Row],[Sales amount]]*100</f>
        <v>-0.99482035681986314</v>
      </c>
    </row>
    <row r="22" spans="3:11" x14ac:dyDescent="0.25">
      <c r="C22">
        <v>5890</v>
      </c>
      <c r="D22" t="s">
        <v>4</v>
      </c>
      <c r="E22">
        <v>70</v>
      </c>
      <c r="F22" s="2">
        <v>26.48</v>
      </c>
      <c r="G22" s="2">
        <v>6.93</v>
      </c>
      <c r="H22" s="3">
        <f t="shared" si="0"/>
        <v>1860.5300000000002</v>
      </c>
      <c r="I22" s="2">
        <v>0.49</v>
      </c>
      <c r="J22" s="2">
        <f t="shared" si="1"/>
        <v>27.369999999999997</v>
      </c>
      <c r="K22" s="4">
        <f>Table2[[#This Row],[Profit]]/Table2[[#This Row],[Sales amount]]*100</f>
        <v>1.4710861958689188</v>
      </c>
    </row>
    <row r="23" spans="3:11" x14ac:dyDescent="0.25">
      <c r="C23">
        <v>6062</v>
      </c>
      <c r="D23" t="s">
        <v>5</v>
      </c>
      <c r="E23">
        <v>58</v>
      </c>
      <c r="F23" s="2">
        <v>5</v>
      </c>
      <c r="G23" s="2">
        <v>3.39</v>
      </c>
      <c r="H23" s="3">
        <f t="shared" si="0"/>
        <v>293.39</v>
      </c>
      <c r="I23" s="2">
        <v>0.37</v>
      </c>
      <c r="J23" s="2">
        <f t="shared" si="1"/>
        <v>18.07</v>
      </c>
      <c r="K23" s="4">
        <f>Table2[[#This Row],[Profit]]/Table2[[#This Row],[Sales amount]]*100</f>
        <v>6.1590374586727563</v>
      </c>
    </row>
    <row r="24" spans="3:11" x14ac:dyDescent="0.25">
      <c r="C24">
        <v>6063</v>
      </c>
      <c r="D24" t="s">
        <v>5</v>
      </c>
      <c r="E24">
        <v>71</v>
      </c>
      <c r="F24" s="2">
        <v>12.99</v>
      </c>
      <c r="G24" s="2">
        <v>9.44</v>
      </c>
      <c r="H24" s="3">
        <f t="shared" si="0"/>
        <v>931.73</v>
      </c>
      <c r="I24" s="2">
        <v>0.39</v>
      </c>
      <c r="J24" s="2">
        <f t="shared" si="1"/>
        <v>18.25</v>
      </c>
      <c r="K24" s="4">
        <f>Table2[[#This Row],[Profit]]/Table2[[#This Row],[Sales amount]]*100</f>
        <v>1.9587219473452611</v>
      </c>
    </row>
    <row r="25" spans="3:11" x14ac:dyDescent="0.25">
      <c r="C25">
        <v>20631</v>
      </c>
      <c r="D25" t="s">
        <v>4</v>
      </c>
      <c r="E25">
        <v>1</v>
      </c>
      <c r="F25" s="2">
        <v>55.48</v>
      </c>
      <c r="G25" s="2">
        <v>14.3</v>
      </c>
      <c r="H25" s="3">
        <f t="shared" si="0"/>
        <v>69.78</v>
      </c>
      <c r="I25" s="2">
        <v>0.37</v>
      </c>
      <c r="J25" s="2">
        <f t="shared" si="1"/>
        <v>-13.930000000000001</v>
      </c>
      <c r="K25" s="4">
        <f>Table2[[#This Row],[Profit]]/Table2[[#This Row],[Sales amount]]*100</f>
        <v>-19.962740040126111</v>
      </c>
    </row>
    <row r="26" spans="3:11" x14ac:dyDescent="0.25">
      <c r="C26">
        <v>20632</v>
      </c>
      <c r="D26" t="s">
        <v>4</v>
      </c>
      <c r="E26">
        <v>1</v>
      </c>
      <c r="F26" s="2">
        <v>1.68</v>
      </c>
      <c r="G26" s="2">
        <v>1.57</v>
      </c>
      <c r="H26" s="3">
        <f t="shared" si="0"/>
        <v>3.25</v>
      </c>
      <c r="I26" s="2">
        <v>0.59</v>
      </c>
      <c r="J26" s="2">
        <f t="shared" si="1"/>
        <v>-0.98000000000000009</v>
      </c>
      <c r="K26" s="4">
        <f>Table2[[#This Row],[Profit]]/Table2[[#This Row],[Sales amount]]*100</f>
        <v>-30.15384615384616</v>
      </c>
    </row>
    <row r="27" spans="3:11" x14ac:dyDescent="0.25">
      <c r="C27">
        <v>23967</v>
      </c>
      <c r="D27" t="s">
        <v>5</v>
      </c>
      <c r="E27">
        <v>12</v>
      </c>
      <c r="F27" s="2">
        <v>4.1399999999999997</v>
      </c>
      <c r="G27" s="2">
        <v>6.6</v>
      </c>
      <c r="H27" s="3">
        <f t="shared" si="0"/>
        <v>56.279999999999994</v>
      </c>
      <c r="I27" s="2">
        <v>0.49</v>
      </c>
      <c r="J27" s="2">
        <f t="shared" si="1"/>
        <v>-0.71999999999999975</v>
      </c>
      <c r="K27" s="4">
        <f>Table2[[#This Row],[Profit]]/Table2[[#This Row],[Sales amount]]*100</f>
        <v>-1.2793176972281446</v>
      </c>
    </row>
    <row r="28" spans="3:11" x14ac:dyDescent="0.25">
      <c r="C28">
        <v>23509</v>
      </c>
      <c r="D28" t="s">
        <v>4</v>
      </c>
      <c r="E28">
        <v>13</v>
      </c>
      <c r="F28" s="2">
        <v>34.99</v>
      </c>
      <c r="G28" s="2">
        <v>7.73</v>
      </c>
      <c r="H28" s="3">
        <f t="shared" si="0"/>
        <v>462.6</v>
      </c>
      <c r="I28" s="2">
        <v>0.59</v>
      </c>
      <c r="J28" s="2">
        <f t="shared" si="1"/>
        <v>-6.0000000000000497E-2</v>
      </c>
      <c r="K28" s="4">
        <f>Table2[[#This Row],[Profit]]/Table2[[#This Row],[Sales amount]]*100</f>
        <v>-1.2970168612192065E-2</v>
      </c>
    </row>
    <row r="29" spans="3:11" x14ac:dyDescent="0.25">
      <c r="C29">
        <v>23612</v>
      </c>
      <c r="D29" t="s">
        <v>4</v>
      </c>
      <c r="E29">
        <v>2</v>
      </c>
      <c r="F29" s="2">
        <v>17.98</v>
      </c>
      <c r="G29" s="2">
        <v>8.51</v>
      </c>
      <c r="H29" s="3">
        <f t="shared" si="0"/>
        <v>44.47</v>
      </c>
      <c r="I29" s="2">
        <v>0.4</v>
      </c>
      <c r="J29" s="2">
        <f t="shared" si="1"/>
        <v>-7.71</v>
      </c>
      <c r="K29" s="4">
        <f>Table2[[#This Row],[Profit]]/Table2[[#This Row],[Sales amount]]*100</f>
        <v>-17.337530919721161</v>
      </c>
    </row>
    <row r="30" spans="3:11" x14ac:dyDescent="0.25">
      <c r="C30">
        <v>23278</v>
      </c>
      <c r="D30" t="s">
        <v>7</v>
      </c>
      <c r="E30">
        <v>8</v>
      </c>
      <c r="F30" s="2">
        <v>125.99</v>
      </c>
      <c r="G30" s="2">
        <v>7.69</v>
      </c>
      <c r="H30" s="3">
        <f t="shared" si="0"/>
        <v>1015.61</v>
      </c>
      <c r="I30" s="2">
        <v>0.59</v>
      </c>
      <c r="J30" s="2">
        <f t="shared" si="1"/>
        <v>-2.9700000000000006</v>
      </c>
      <c r="K30" s="4">
        <f>Table2[[#This Row],[Profit]]/Table2[[#This Row],[Sales amount]]*100</f>
        <v>-0.29243508827207298</v>
      </c>
    </row>
    <row r="31" spans="3:11" x14ac:dyDescent="0.25">
      <c r="C31">
        <v>19355</v>
      </c>
      <c r="D31" t="s">
        <v>8</v>
      </c>
      <c r="E31">
        <v>22</v>
      </c>
      <c r="F31" s="2">
        <v>205.99</v>
      </c>
      <c r="G31" s="2">
        <v>8.99</v>
      </c>
      <c r="H31" s="3">
        <f t="shared" si="0"/>
        <v>4540.7700000000004</v>
      </c>
      <c r="I31" s="2">
        <v>0.56000000000000005</v>
      </c>
      <c r="J31" s="2">
        <f t="shared" si="1"/>
        <v>3.33</v>
      </c>
      <c r="K31" s="4">
        <f>Table2[[#This Row],[Profit]]/Table2[[#This Row],[Sales amount]]*100</f>
        <v>7.3335579648385621E-2</v>
      </c>
    </row>
    <row r="32" spans="3:11" x14ac:dyDescent="0.25">
      <c r="C32">
        <v>23654</v>
      </c>
      <c r="D32" t="s">
        <v>5</v>
      </c>
      <c r="E32">
        <v>13</v>
      </c>
      <c r="F32" s="2">
        <v>4.24</v>
      </c>
      <c r="G32" s="2">
        <v>5.41</v>
      </c>
      <c r="H32" s="3">
        <f t="shared" si="0"/>
        <v>60.53</v>
      </c>
      <c r="I32" s="2">
        <v>0.35</v>
      </c>
      <c r="J32" s="2">
        <f t="shared" si="1"/>
        <v>-0.86000000000000032</v>
      </c>
      <c r="K32" s="4">
        <f>Table2[[#This Row],[Profit]]/Table2[[#This Row],[Sales amount]]*100</f>
        <v>-1.4207830827688754</v>
      </c>
    </row>
    <row r="33" spans="3:11" x14ac:dyDescent="0.25">
      <c r="C33">
        <v>23655</v>
      </c>
      <c r="D33" t="s">
        <v>5</v>
      </c>
      <c r="E33">
        <v>18</v>
      </c>
      <c r="F33" s="2">
        <v>2.94</v>
      </c>
      <c r="G33" s="2">
        <v>0.7</v>
      </c>
      <c r="H33" s="3">
        <f t="shared" si="0"/>
        <v>53.620000000000005</v>
      </c>
      <c r="I33" s="2">
        <v>0.57999999999999996</v>
      </c>
      <c r="J33" s="2">
        <f t="shared" si="1"/>
        <v>9.74</v>
      </c>
      <c r="K33" s="4">
        <f>Table2[[#This Row],[Profit]]/Table2[[#This Row],[Sales amount]]*100</f>
        <v>18.164863856769863</v>
      </c>
    </row>
    <row r="34" spans="3:11" x14ac:dyDescent="0.25">
      <c r="C34">
        <v>25933</v>
      </c>
      <c r="D34" t="s">
        <v>4</v>
      </c>
      <c r="E34">
        <v>6</v>
      </c>
      <c r="F34" s="2">
        <v>99.99</v>
      </c>
      <c r="G34" s="2">
        <v>19.989999999999998</v>
      </c>
      <c r="H34" s="3">
        <f t="shared" si="0"/>
        <v>619.92999999999995</v>
      </c>
      <c r="I34" s="2">
        <v>0.52</v>
      </c>
      <c r="J34" s="2">
        <f t="shared" si="1"/>
        <v>-16.869999999999997</v>
      </c>
      <c r="K34" s="4">
        <f>Table2[[#This Row],[Profit]]/Table2[[#This Row],[Sales amount]]*100</f>
        <v>-2.7212749826593323</v>
      </c>
    </row>
    <row r="35" spans="3:11" x14ac:dyDescent="0.25">
      <c r="C35">
        <v>20697</v>
      </c>
      <c r="D35" t="s">
        <v>7</v>
      </c>
      <c r="E35">
        <v>6</v>
      </c>
      <c r="F35" s="2">
        <v>115.99</v>
      </c>
      <c r="G35" s="2">
        <v>2.5</v>
      </c>
      <c r="H35" s="3">
        <f t="shared" si="0"/>
        <v>698.43999999999994</v>
      </c>
      <c r="I35" s="2">
        <v>0.56999999999999995</v>
      </c>
      <c r="J35" s="2">
        <f t="shared" si="1"/>
        <v>0.91999999999999993</v>
      </c>
      <c r="K35" s="4">
        <f>Table2[[#This Row],[Profit]]/Table2[[#This Row],[Sales amount]]*100</f>
        <v>0.13172212358971422</v>
      </c>
    </row>
    <row r="36" spans="3:11" x14ac:dyDescent="0.25">
      <c r="C36">
        <v>20698</v>
      </c>
      <c r="D36" t="s">
        <v>7</v>
      </c>
      <c r="E36">
        <v>1</v>
      </c>
      <c r="F36" s="2">
        <v>3502.14</v>
      </c>
      <c r="G36" s="2">
        <v>8.73</v>
      </c>
      <c r="H36" s="3">
        <f t="shared" si="0"/>
        <v>3510.87</v>
      </c>
      <c r="I36" s="2">
        <v>0.56999999999999995</v>
      </c>
      <c r="J36" s="2">
        <f t="shared" si="1"/>
        <v>-8.16</v>
      </c>
      <c r="K36" s="4">
        <f>Table2[[#This Row],[Profit]]/Table2[[#This Row],[Sales amount]]*100</f>
        <v>-0.23242102384878963</v>
      </c>
    </row>
    <row r="37" spans="3:11" x14ac:dyDescent="0.25">
      <c r="C37">
        <v>22890</v>
      </c>
      <c r="D37" t="s">
        <v>4</v>
      </c>
      <c r="E37">
        <v>17</v>
      </c>
      <c r="F37" s="2">
        <v>175.99</v>
      </c>
      <c r="G37" s="2">
        <v>5.79</v>
      </c>
      <c r="H37" s="3">
        <f t="shared" si="0"/>
        <v>2997.62</v>
      </c>
      <c r="I37" s="2">
        <v>0.36</v>
      </c>
      <c r="J37" s="2">
        <f t="shared" si="1"/>
        <v>0.33000000000000007</v>
      </c>
      <c r="K37" s="4">
        <f>Table2[[#This Row],[Profit]]/Table2[[#This Row],[Sales amount]]*100</f>
        <v>1.1008733595318957E-2</v>
      </c>
    </row>
    <row r="38" spans="3:11" x14ac:dyDescent="0.25">
      <c r="C38">
        <v>25354</v>
      </c>
      <c r="D38" t="s">
        <v>4</v>
      </c>
      <c r="E38">
        <v>20</v>
      </c>
      <c r="F38" s="2">
        <v>155.06</v>
      </c>
      <c r="G38" s="2">
        <v>1.49</v>
      </c>
      <c r="H38" s="3">
        <f t="shared" si="0"/>
        <v>3102.6899999999996</v>
      </c>
      <c r="I38" s="2">
        <v>0.38</v>
      </c>
      <c r="J38" s="2">
        <f t="shared" si="1"/>
        <v>6.1099999999999994</v>
      </c>
      <c r="K38" s="4">
        <f>Table2[[#This Row],[Profit]]/Table2[[#This Row],[Sales amount]]*100</f>
        <v>0.19692589333771662</v>
      </c>
    </row>
    <row r="39" spans="3:11" x14ac:dyDescent="0.25">
      <c r="C39">
        <v>21017</v>
      </c>
      <c r="D39" t="s">
        <v>5</v>
      </c>
      <c r="E39">
        <v>17</v>
      </c>
      <c r="F39" s="2">
        <v>5.98</v>
      </c>
      <c r="G39" s="2">
        <v>0.7</v>
      </c>
      <c r="H39" s="3">
        <f t="shared" si="0"/>
        <v>102.36000000000001</v>
      </c>
      <c r="I39" s="2">
        <v>0.56000000000000005</v>
      </c>
      <c r="J39" s="2">
        <f t="shared" si="1"/>
        <v>8.8200000000000021</v>
      </c>
      <c r="K39" s="4">
        <f>Table2[[#This Row],[Profit]]/Table2[[#This Row],[Sales amount]]*100</f>
        <v>8.6166471277842902</v>
      </c>
    </row>
    <row r="40" spans="3:11" x14ac:dyDescent="0.25">
      <c r="C40">
        <v>21019</v>
      </c>
      <c r="D40" t="s">
        <v>5</v>
      </c>
      <c r="E40">
        <v>3</v>
      </c>
      <c r="F40" s="2">
        <v>29.14</v>
      </c>
      <c r="G40" s="2">
        <v>5.15</v>
      </c>
      <c r="H40" s="3">
        <f t="shared" si="0"/>
        <v>92.570000000000007</v>
      </c>
      <c r="I40" s="2">
        <v>0.36</v>
      </c>
      <c r="J40" s="2">
        <f t="shared" si="1"/>
        <v>-4.07</v>
      </c>
      <c r="K40" s="4">
        <f>Table2[[#This Row],[Profit]]/Table2[[#This Row],[Sales amount]]*100</f>
        <v>-4.3966727881603118</v>
      </c>
    </row>
    <row r="41" spans="3:11" x14ac:dyDescent="0.25">
      <c r="C41">
        <v>23274</v>
      </c>
      <c r="D41" t="s">
        <v>8</v>
      </c>
      <c r="E41">
        <v>17</v>
      </c>
      <c r="F41" s="2">
        <v>3.69</v>
      </c>
      <c r="G41" s="2">
        <v>4.8600000000000003</v>
      </c>
      <c r="H41" s="3">
        <f t="shared" si="0"/>
        <v>67.59</v>
      </c>
      <c r="I41" s="2">
        <v>0.38</v>
      </c>
      <c r="J41" s="2">
        <f t="shared" si="1"/>
        <v>1.5999999999999996</v>
      </c>
      <c r="K41" s="4">
        <f>Table2[[#This Row],[Profit]]/Table2[[#This Row],[Sales amount]]*100</f>
        <v>2.3672140849238046</v>
      </c>
    </row>
    <row r="42" spans="3:11" x14ac:dyDescent="0.25">
      <c r="C42">
        <v>23274</v>
      </c>
      <c r="D42" t="s">
        <v>5</v>
      </c>
      <c r="E42">
        <v>3</v>
      </c>
      <c r="F42" s="2">
        <v>29.14</v>
      </c>
      <c r="G42" s="2">
        <v>4.8600000000000003</v>
      </c>
      <c r="H42" s="3">
        <f>(E42*F42)+G42</f>
        <v>92.28</v>
      </c>
      <c r="I42" s="2">
        <v>0.36</v>
      </c>
      <c r="J42" s="2">
        <f>I42*E42-G42</f>
        <v>-3.7800000000000002</v>
      </c>
      <c r="K42" s="4">
        <f>Table2[[#This Row],[Profit]]/Table2[[#This Row],[Sales amount]]*100</f>
        <v>-4.0962288686605985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Lenovo</cp:lastModifiedBy>
  <dcterms:created xsi:type="dcterms:W3CDTF">2015-06-05T18:17:20Z</dcterms:created>
  <dcterms:modified xsi:type="dcterms:W3CDTF">2023-03-26T18:34:42Z</dcterms:modified>
</cp:coreProperties>
</file>